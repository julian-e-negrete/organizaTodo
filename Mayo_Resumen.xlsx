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mensual" sheetId="1" r:id="rId4"/>
    <sheet state="visible" name="DEUDA" sheetId="2" r:id="rId5"/>
    <sheet state="visible" name="gastos" sheetId="3" r:id="rId6"/>
  </sheets>
  <definedNames/>
  <calcPr/>
  <extLst>
    <ext uri="GoogleSheetsCustomDataVersion2">
      <go:sheetsCustomData xmlns:go="http://customooxmlschemas.google.com/" r:id="rId7" roundtripDataChecksum="mc9Z5PlQ8tukSQKqTenWY7YEKTrKEJXtlH7L2hYKEco="/>
    </ext>
  </extLst>
</workbook>
</file>

<file path=xl/sharedStrings.xml><?xml version="1.0" encoding="utf-8"?>
<sst xmlns="http://schemas.openxmlformats.org/spreadsheetml/2006/main" count="55" uniqueCount="39">
  <si>
    <t>BALANCE 12/24</t>
  </si>
  <si>
    <t>PASIVOS</t>
  </si>
  <si>
    <t>FECHA</t>
  </si>
  <si>
    <t>DETALLE</t>
  </si>
  <si>
    <t>IMPORTE</t>
  </si>
  <si>
    <t>INGRESO DE CAPITAL</t>
  </si>
  <si>
    <t>PAGO MOVISTAR</t>
  </si>
  <si>
    <t>PAGO MOVISTAR(WIFI)</t>
  </si>
  <si>
    <t>compra dolares</t>
  </si>
  <si>
    <t xml:space="preserve">FACULTAD </t>
  </si>
  <si>
    <t>PAGO TARJETA DE CREDITO</t>
  </si>
  <si>
    <t xml:space="preserve">bono </t>
  </si>
  <si>
    <t>PAGO SERVICIOS</t>
  </si>
  <si>
    <t>SEGURO</t>
  </si>
  <si>
    <t>TOTAL</t>
  </si>
  <si>
    <t>gastos del mes</t>
  </si>
  <si>
    <t>PLATA HABIL DEL MES</t>
  </si>
  <si>
    <t>SERVICIOS</t>
  </si>
  <si>
    <t>TARJETA DE CREDITO - COMPRAS DEL MES</t>
  </si>
  <si>
    <t>misc</t>
  </si>
  <si>
    <t>EDENOR</t>
  </si>
  <si>
    <t>Naturgy bsas</t>
  </si>
  <si>
    <t>AYSA</t>
  </si>
  <si>
    <t>Expensas</t>
  </si>
  <si>
    <t>Municipio departamento</t>
  </si>
  <si>
    <t>Municipio garage</t>
  </si>
  <si>
    <t>Patente</t>
  </si>
  <si>
    <t>TARJETA DE CREDITO - CUOTAS DEL MES</t>
  </si>
  <si>
    <t>reloj(1ra cuota)</t>
  </si>
  <si>
    <t>caja herramientas</t>
  </si>
  <si>
    <t xml:space="preserve">mes </t>
  </si>
  <si>
    <t>Descripcion</t>
  </si>
  <si>
    <t>monto</t>
  </si>
  <si>
    <t>municipio</t>
  </si>
  <si>
    <t>municipio garage</t>
  </si>
  <si>
    <t>GASTOS DEL MES</t>
  </si>
  <si>
    <t>nafta moto</t>
  </si>
  <si>
    <t xml:space="preserve"> </t>
  </si>
  <si>
    <t>GASTOS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</si>
</sst>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&quot;$&quot;\ #,##0.00"/>
    <numFmt numFmtId="166" formatCode="M/d/yyyy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</fills>
  <borders count="25">
    <border/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theme="1"/>
      </left>
    </border>
    <border>
      <right style="thin">
        <color theme="1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theme="1"/>
      </left>
      <bottom style="thin">
        <color theme="1"/>
      </bottom>
    </border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3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17" fillId="2" fontId="1" numFmtId="164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readingOrder="0" vertical="center"/>
    </xf>
    <xf borderId="21" fillId="4" fontId="1" numFmtId="164" xfId="0" applyAlignment="1" applyBorder="1" applyFill="1" applyFont="1" applyNumberFormat="1">
      <alignment horizontal="center" vertical="center"/>
    </xf>
    <xf borderId="22" fillId="4" fontId="1" numFmtId="0" xfId="0" applyAlignment="1" applyBorder="1" applyFont="1">
      <alignment horizontal="center" vertical="center"/>
    </xf>
    <xf borderId="22" fillId="4" fontId="1" numFmtId="165" xfId="0" applyAlignment="1" applyBorder="1" applyFont="1" applyNumberFormat="1">
      <alignment horizontal="center" readingOrder="0" vertical="center"/>
    </xf>
    <xf borderId="18" fillId="2" fontId="1" numFmtId="165" xfId="0" applyAlignment="1" applyBorder="1" applyFont="1" applyNumberFormat="1">
      <alignment horizontal="center" vertical="center"/>
    </xf>
    <xf borderId="21" fillId="3" fontId="1" numFmtId="164" xfId="0" applyAlignment="1" applyBorder="1" applyFont="1" applyNumberFormat="1">
      <alignment horizontal="center" vertical="center"/>
    </xf>
    <xf borderId="22" fillId="3" fontId="1" numFmtId="165" xfId="0" applyAlignment="1" applyBorder="1" applyFont="1" applyNumberFormat="1">
      <alignment horizontal="center" readingOrder="0" vertical="center"/>
    </xf>
    <xf borderId="22" fillId="3" fontId="1" numFmtId="165" xfId="0" applyAlignment="1" applyBorder="1" applyFont="1" applyNumberFormat="1">
      <alignment horizontal="center" vertical="center"/>
    </xf>
    <xf borderId="18" fillId="2" fontId="1" numFmtId="0" xfId="0" applyAlignment="1" applyBorder="1" applyFont="1">
      <alignment horizontal="center" readingOrder="0" vertical="center"/>
    </xf>
    <xf borderId="0" fillId="0" fontId="1" numFmtId="9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21" fillId="5" fontId="1" numFmtId="164" xfId="0" applyAlignment="1" applyBorder="1" applyFill="1" applyFont="1" applyNumberFormat="1">
      <alignment horizontal="center" vertical="center"/>
    </xf>
    <xf borderId="22" fillId="5" fontId="1" numFmtId="0" xfId="0" applyAlignment="1" applyBorder="1" applyFont="1">
      <alignment horizontal="center" vertical="center"/>
    </xf>
    <xf borderId="22" fillId="5" fontId="1" numFmtId="165" xfId="0" applyAlignment="1" applyBorder="1" applyFont="1" applyNumberFormat="1">
      <alignment horizontal="center" vertical="center"/>
    </xf>
    <xf borderId="17" fillId="6" fontId="1" numFmtId="164" xfId="0" applyAlignment="1" applyBorder="1" applyFill="1" applyFont="1" applyNumberFormat="1">
      <alignment horizontal="center" vertical="center"/>
    </xf>
    <xf borderId="18" fillId="6" fontId="1" numFmtId="0" xfId="0" applyAlignment="1" applyBorder="1" applyFont="1">
      <alignment horizontal="center" vertical="center"/>
    </xf>
    <xf borderId="18" fillId="6" fontId="1" numFmtId="165" xfId="0" applyAlignment="1" applyBorder="1" applyFont="1" applyNumberForma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vertical="center"/>
    </xf>
    <xf borderId="21" fillId="7" fontId="1" numFmtId="164" xfId="0" applyAlignment="1" applyBorder="1" applyFont="1" applyNumberFormat="1">
      <alignment horizontal="center" vertical="center"/>
    </xf>
    <xf borderId="22" fillId="7" fontId="1" numFmtId="0" xfId="0" applyAlignment="1" applyBorder="1" applyFont="1">
      <alignment horizontal="center" readingOrder="0" vertical="center"/>
    </xf>
    <xf borderId="22" fillId="7" fontId="1" numFmtId="165" xfId="0" applyAlignment="1" applyBorder="1" applyFont="1" applyNumberFormat="1">
      <alignment horizontal="center" readingOrder="0" vertical="center"/>
    </xf>
    <xf borderId="22" fillId="4" fontId="1" numFmtId="165" xfId="0" applyAlignment="1" applyBorder="1" applyFont="1" applyNumberFormat="1">
      <alignment horizontal="center" vertical="center"/>
    </xf>
    <xf borderId="22" fillId="7" fontId="1" numFmtId="165" xfId="0" applyAlignment="1" applyBorder="1" applyFont="1" applyNumberFormat="1">
      <alignment horizontal="center" vertical="center"/>
    </xf>
    <xf borderId="21" fillId="8" fontId="1" numFmtId="164" xfId="0" applyAlignment="1" applyBorder="1" applyFill="1" applyFont="1" applyNumberFormat="1">
      <alignment horizontal="center" vertical="center"/>
    </xf>
    <xf borderId="22" fillId="8" fontId="1" numFmtId="0" xfId="0" applyAlignment="1" applyBorder="1" applyFont="1">
      <alignment horizontal="center" vertical="center"/>
    </xf>
    <xf borderId="22" fillId="8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7" fillId="2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9.29"/>
    <col customWidth="1" min="4" max="27" width="11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3.5" customHeight="1">
      <c r="A3" s="2" t="s">
        <v>0</v>
      </c>
      <c r="B3" s="3"/>
      <c r="C3" s="3"/>
      <c r="D3" s="3"/>
      <c r="E3" s="3"/>
      <c r="F3" s="3"/>
      <c r="G3" s="4"/>
      <c r="H3" s="1"/>
      <c r="I3" s="1"/>
      <c r="J3" s="5" t="s">
        <v>1</v>
      </c>
      <c r="K3" s="6"/>
      <c r="L3" s="6"/>
      <c r="M3" s="6"/>
      <c r="N3" s="6"/>
      <c r="O3" s="6"/>
      <c r="P3" s="7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8"/>
      <c r="G4" s="9"/>
      <c r="H4" s="1"/>
      <c r="I4" s="1"/>
      <c r="J4" s="10"/>
      <c r="P4" s="1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2"/>
      <c r="B5" s="13"/>
      <c r="C5" s="13"/>
      <c r="D5" s="13"/>
      <c r="E5" s="13"/>
      <c r="F5" s="13"/>
      <c r="G5" s="14"/>
      <c r="H5" s="1"/>
      <c r="I5" s="1"/>
      <c r="J5" s="15"/>
      <c r="K5" s="16"/>
      <c r="L5" s="16"/>
      <c r="M5" s="16"/>
      <c r="N5" s="16"/>
      <c r="O5" s="16"/>
      <c r="P5" s="17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8" t="s">
        <v>2</v>
      </c>
      <c r="B6" s="19" t="s">
        <v>3</v>
      </c>
      <c r="C6" s="20"/>
      <c r="D6" s="20"/>
      <c r="E6" s="21"/>
      <c r="F6" s="19" t="s">
        <v>4</v>
      </c>
      <c r="G6" s="21"/>
      <c r="H6" s="1"/>
      <c r="I6" s="1"/>
      <c r="J6" s="22" t="s">
        <v>2</v>
      </c>
      <c r="K6" s="23" t="s">
        <v>3</v>
      </c>
      <c r="L6" s="24"/>
      <c r="M6" s="24"/>
      <c r="N6" s="25"/>
      <c r="O6" s="23" t="s">
        <v>4</v>
      </c>
      <c r="P6" s="2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26">
        <v>45658.0</v>
      </c>
      <c r="B7" s="19" t="s">
        <v>5</v>
      </c>
      <c r="C7" s="20"/>
      <c r="D7" s="20"/>
      <c r="E7" s="21"/>
      <c r="F7" s="27">
        <v>1400000.0</v>
      </c>
      <c r="G7" s="21"/>
      <c r="H7" s="1"/>
      <c r="I7" s="1"/>
      <c r="J7" s="28"/>
      <c r="K7" s="29" t="s">
        <v>6</v>
      </c>
      <c r="L7" s="24"/>
      <c r="M7" s="24"/>
      <c r="N7" s="25"/>
      <c r="O7" s="30">
        <v>30000.0</v>
      </c>
      <c r="P7" s="25"/>
      <c r="Q7" s="1"/>
      <c r="X7" s="1"/>
      <c r="Y7" s="1"/>
      <c r="Z7" s="1"/>
      <c r="AA7" s="1"/>
    </row>
    <row r="8" ht="14.25" customHeight="1">
      <c r="A8" s="26">
        <v>45659.0</v>
      </c>
      <c r="B8" s="19" t="s">
        <v>1</v>
      </c>
      <c r="C8" s="20"/>
      <c r="D8" s="20"/>
      <c r="E8" s="21"/>
      <c r="F8" s="31">
        <f>O13 * -1</f>
        <v>-470496</v>
      </c>
      <c r="G8" s="21"/>
      <c r="H8" s="1"/>
      <c r="I8" s="1"/>
      <c r="J8" s="28"/>
      <c r="K8" s="29" t="s">
        <v>7</v>
      </c>
      <c r="L8" s="24"/>
      <c r="M8" s="24"/>
      <c r="N8" s="25"/>
      <c r="O8" s="30">
        <v>22000.0</v>
      </c>
      <c r="P8" s="2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26">
        <v>45660.0</v>
      </c>
      <c r="B9" s="19" t="s">
        <v>8</v>
      </c>
      <c r="C9" s="20"/>
      <c r="D9" s="20"/>
      <c r="E9" s="21"/>
      <c r="F9" s="31">
        <f>-1400*400</f>
        <v>-560000</v>
      </c>
      <c r="G9" s="21"/>
      <c r="H9" s="1"/>
      <c r="I9" s="1"/>
      <c r="J9" s="32"/>
      <c r="K9" s="23" t="s">
        <v>9</v>
      </c>
      <c r="L9" s="24"/>
      <c r="M9" s="24"/>
      <c r="N9" s="25"/>
      <c r="O9" s="33">
        <v>110000.0</v>
      </c>
      <c r="P9" s="2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26">
        <v>45661.0</v>
      </c>
      <c r="B10" s="19"/>
      <c r="C10" s="20"/>
      <c r="D10" s="20"/>
      <c r="E10" s="21"/>
      <c r="F10" s="31"/>
      <c r="G10" s="21"/>
      <c r="H10" s="1"/>
      <c r="I10" s="1"/>
      <c r="J10" s="32"/>
      <c r="K10" s="23" t="s">
        <v>10</v>
      </c>
      <c r="L10" s="24"/>
      <c r="M10" s="24"/>
      <c r="N10" s="25"/>
      <c r="O10" s="34">
        <f>O27 + O33</f>
        <v>145200</v>
      </c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26">
        <v>45662.0</v>
      </c>
      <c r="B11" s="35" t="s">
        <v>11</v>
      </c>
      <c r="C11" s="20"/>
      <c r="D11" s="20"/>
      <c r="E11" s="21"/>
      <c r="F11" s="27">
        <v>120000.0</v>
      </c>
      <c r="G11" s="21"/>
      <c r="H11" s="1"/>
      <c r="I11" s="1"/>
      <c r="J11" s="32"/>
      <c r="K11" s="23" t="s">
        <v>12</v>
      </c>
      <c r="L11" s="24"/>
      <c r="M11" s="24"/>
      <c r="N11" s="25"/>
      <c r="O11" s="34">
        <f>F35</f>
        <v>151296</v>
      </c>
      <c r="P11" s="2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26">
        <v>45663.0</v>
      </c>
      <c r="B12" s="19"/>
      <c r="C12" s="20"/>
      <c r="D12" s="20"/>
      <c r="E12" s="21"/>
      <c r="F12" s="31"/>
      <c r="G12" s="21"/>
      <c r="H12" s="1"/>
      <c r="I12" s="1"/>
      <c r="J12" s="32"/>
      <c r="K12" s="23" t="s">
        <v>13</v>
      </c>
      <c r="L12" s="24"/>
      <c r="M12" s="24"/>
      <c r="N12" s="25"/>
      <c r="O12" s="34">
        <v>12000.0</v>
      </c>
      <c r="P12" s="25"/>
      <c r="Q12" s="1"/>
      <c r="R12" s="1"/>
      <c r="S12" s="1"/>
      <c r="T12" s="1"/>
      <c r="U12" s="1"/>
      <c r="V12" s="1"/>
      <c r="W12" s="1"/>
      <c r="X12" s="36"/>
      <c r="Y12" s="1"/>
      <c r="Z12" s="1"/>
      <c r="AA12" s="37"/>
    </row>
    <row r="13" ht="14.25" customHeight="1">
      <c r="A13" s="26">
        <v>45664.0</v>
      </c>
      <c r="B13" s="19"/>
      <c r="C13" s="20"/>
      <c r="D13" s="20"/>
      <c r="E13" s="21"/>
      <c r="F13" s="31"/>
      <c r="G13" s="21"/>
      <c r="H13" s="1"/>
      <c r="I13" s="1"/>
      <c r="J13" s="38"/>
      <c r="K13" s="39" t="s">
        <v>14</v>
      </c>
      <c r="L13" s="24"/>
      <c r="M13" s="24"/>
      <c r="N13" s="25"/>
      <c r="O13" s="40">
        <f>SUM(O7:P12)</f>
        <v>470496</v>
      </c>
      <c r="P13" s="2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26"/>
      <c r="B14" s="19" t="s">
        <v>15</v>
      </c>
      <c r="C14" s="20"/>
      <c r="D14" s="20"/>
      <c r="E14" s="21"/>
      <c r="F14" s="31">
        <f>gastos!G18 * -1</f>
        <v>-80000</v>
      </c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41"/>
      <c r="B15" s="42" t="s">
        <v>16</v>
      </c>
      <c r="C15" s="20"/>
      <c r="D15" s="20"/>
      <c r="E15" s="21"/>
      <c r="F15" s="43">
        <f>SUM(F7:G14)</f>
        <v>409504</v>
      </c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Q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Q17" s="1"/>
    </row>
    <row r="18" ht="14.25" customHeight="1">
      <c r="A18" s="44" t="s">
        <v>17</v>
      </c>
      <c r="B18" s="6"/>
      <c r="C18" s="6"/>
      <c r="D18" s="6"/>
      <c r="E18" s="6"/>
      <c r="F18" s="6"/>
      <c r="G18" s="7"/>
      <c r="H18" s="1"/>
      <c r="I18" s="1"/>
      <c r="J18" s="44" t="s">
        <v>18</v>
      </c>
      <c r="K18" s="6"/>
      <c r="L18" s="6"/>
      <c r="M18" s="6"/>
      <c r="N18" s="6"/>
      <c r="O18" s="6"/>
      <c r="P18" s="7"/>
      <c r="Q18" s="1"/>
    </row>
    <row r="19" ht="14.25" customHeight="1">
      <c r="A19" s="10"/>
      <c r="G19" s="11"/>
      <c r="H19" s="1"/>
      <c r="I19" s="1"/>
      <c r="J19" s="10"/>
      <c r="P19" s="11"/>
      <c r="Q19" s="1"/>
    </row>
    <row r="20" ht="14.25" customHeight="1">
      <c r="A20" s="15"/>
      <c r="B20" s="16"/>
      <c r="C20" s="16"/>
      <c r="D20" s="16"/>
      <c r="E20" s="16"/>
      <c r="F20" s="16"/>
      <c r="G20" s="17"/>
      <c r="H20" s="1"/>
      <c r="I20" s="1"/>
      <c r="J20" s="15"/>
      <c r="K20" s="16"/>
      <c r="L20" s="16"/>
      <c r="M20" s="16"/>
      <c r="N20" s="16"/>
      <c r="O20" s="16"/>
      <c r="P20" s="17"/>
      <c r="Q20" s="1"/>
    </row>
    <row r="21" ht="14.25" customHeight="1">
      <c r="A21" s="45" t="s">
        <v>2</v>
      </c>
      <c r="B21" s="46" t="s">
        <v>3</v>
      </c>
      <c r="C21" s="24"/>
      <c r="D21" s="24"/>
      <c r="E21" s="25"/>
      <c r="F21" s="46" t="s">
        <v>4</v>
      </c>
      <c r="G21" s="25"/>
      <c r="H21" s="1"/>
      <c r="I21" s="1"/>
      <c r="J21" s="47"/>
      <c r="K21" s="48" t="s">
        <v>19</v>
      </c>
      <c r="L21" s="24"/>
      <c r="M21" s="24"/>
      <c r="N21" s="25"/>
      <c r="O21" s="49">
        <v>31700.0</v>
      </c>
      <c r="P21" s="25"/>
      <c r="Q21" s="1"/>
    </row>
    <row r="22" ht="14.25" customHeight="1">
      <c r="A22" s="28"/>
      <c r="B22" s="29" t="s">
        <v>20</v>
      </c>
      <c r="C22" s="24"/>
      <c r="D22" s="24"/>
      <c r="E22" s="25"/>
      <c r="F22" s="50">
        <v>10000.0</v>
      </c>
      <c r="G22" s="25"/>
      <c r="H22" s="1"/>
      <c r="I22" s="1"/>
      <c r="J22" s="47"/>
      <c r="K22" s="46"/>
      <c r="L22" s="24"/>
      <c r="M22" s="24"/>
      <c r="N22" s="25"/>
      <c r="O22" s="51"/>
      <c r="P22" s="25"/>
      <c r="Q22" s="1"/>
    </row>
    <row r="23" ht="14.25" customHeight="1">
      <c r="A23" s="28"/>
      <c r="B23" s="29" t="s">
        <v>21</v>
      </c>
      <c r="C23" s="24"/>
      <c r="D23" s="24"/>
      <c r="E23" s="25"/>
      <c r="F23" s="50">
        <v>6000.0</v>
      </c>
      <c r="G23" s="25"/>
      <c r="H23" s="1"/>
      <c r="I23" s="1"/>
      <c r="J23" s="47"/>
      <c r="K23" s="46"/>
      <c r="L23" s="24"/>
      <c r="M23" s="24"/>
      <c r="N23" s="25"/>
      <c r="O23" s="51"/>
      <c r="P23" s="25"/>
      <c r="Q23" s="1"/>
    </row>
    <row r="24" ht="14.25" customHeight="1">
      <c r="A24" s="47"/>
      <c r="B24" s="46" t="s">
        <v>22</v>
      </c>
      <c r="C24" s="24"/>
      <c r="D24" s="24"/>
      <c r="E24" s="25"/>
      <c r="F24" s="51">
        <v>24000.0</v>
      </c>
      <c r="G24" s="25"/>
      <c r="H24" s="1"/>
      <c r="I24" s="1"/>
      <c r="J24" s="47"/>
      <c r="K24" s="46"/>
      <c r="L24" s="24"/>
      <c r="M24" s="24"/>
      <c r="N24" s="25"/>
      <c r="O24" s="51"/>
      <c r="P24" s="25"/>
      <c r="Q24" s="1"/>
    </row>
    <row r="25" ht="14.25" customHeight="1">
      <c r="A25" s="28"/>
      <c r="B25" s="29" t="s">
        <v>23</v>
      </c>
      <c r="C25" s="24"/>
      <c r="D25" s="24"/>
      <c r="E25" s="25"/>
      <c r="F25" s="50">
        <f>50000</f>
        <v>50000</v>
      </c>
      <c r="G25" s="25"/>
      <c r="H25" s="1"/>
      <c r="I25" s="1"/>
      <c r="J25" s="47"/>
      <c r="K25" s="46"/>
      <c r="L25" s="24"/>
      <c r="M25" s="24"/>
      <c r="N25" s="25"/>
      <c r="O25" s="51"/>
      <c r="P25" s="25"/>
      <c r="Q25" s="1"/>
    </row>
    <row r="26" ht="14.25" customHeight="1">
      <c r="A26" s="47"/>
      <c r="B26" s="46" t="s">
        <v>24</v>
      </c>
      <c r="C26" s="24"/>
      <c r="D26" s="24"/>
      <c r="E26" s="25"/>
      <c r="F26" s="51">
        <v>35000.0</v>
      </c>
      <c r="G26" s="25"/>
      <c r="H26" s="1"/>
      <c r="I26" s="1"/>
      <c r="J26" s="47"/>
      <c r="K26" s="46"/>
      <c r="L26" s="24"/>
      <c r="M26" s="24"/>
      <c r="N26" s="25"/>
      <c r="O26" s="51"/>
      <c r="P26" s="25"/>
      <c r="Q26" s="1"/>
    </row>
    <row r="27" ht="14.25" customHeight="1">
      <c r="A27" s="47"/>
      <c r="B27" s="46" t="s">
        <v>25</v>
      </c>
      <c r="C27" s="24"/>
      <c r="D27" s="24"/>
      <c r="E27" s="25"/>
      <c r="F27" s="51">
        <v>18988.0</v>
      </c>
      <c r="G27" s="25"/>
      <c r="H27" s="1"/>
      <c r="I27" s="1"/>
      <c r="J27" s="52"/>
      <c r="K27" s="53" t="s">
        <v>14</v>
      </c>
      <c r="L27" s="24"/>
      <c r="M27" s="24"/>
      <c r="N27" s="25"/>
      <c r="O27" s="54">
        <f>sum(O21:P26)</f>
        <v>31700</v>
      </c>
      <c r="P27" s="25"/>
      <c r="Q27" s="1"/>
    </row>
    <row r="28" ht="14.25" customHeight="1">
      <c r="A28" s="47"/>
      <c r="B28" s="46"/>
      <c r="C28" s="24"/>
      <c r="D28" s="24"/>
      <c r="E28" s="25"/>
      <c r="F28" s="51"/>
      <c r="G28" s="25"/>
      <c r="H28" s="1"/>
      <c r="I28" s="1"/>
      <c r="Q28" s="1"/>
    </row>
    <row r="29" ht="14.25" customHeight="1">
      <c r="A29" s="47"/>
      <c r="B29" s="46" t="s">
        <v>26</v>
      </c>
      <c r="C29" s="24"/>
      <c r="D29" s="24"/>
      <c r="E29" s="25"/>
      <c r="F29" s="51">
        <f>7308</f>
        <v>7308</v>
      </c>
      <c r="G29" s="25"/>
      <c r="H29" s="1"/>
      <c r="I29" s="1"/>
      <c r="J29" s="44" t="s">
        <v>27</v>
      </c>
      <c r="K29" s="6"/>
      <c r="L29" s="6"/>
      <c r="M29" s="6"/>
      <c r="N29" s="6"/>
      <c r="O29" s="6"/>
      <c r="P29" s="7"/>
      <c r="Q29" s="1"/>
    </row>
    <row r="30" ht="14.25" customHeight="1">
      <c r="A30" s="47"/>
      <c r="B30" s="46"/>
      <c r="C30" s="24"/>
      <c r="D30" s="24"/>
      <c r="E30" s="25"/>
      <c r="F30" s="51"/>
      <c r="G30" s="25"/>
      <c r="H30" s="1"/>
      <c r="I30" s="1"/>
      <c r="J30" s="10"/>
      <c r="P30" s="11"/>
      <c r="Q30" s="1"/>
    </row>
    <row r="31" ht="14.25" customHeight="1">
      <c r="A31" s="47"/>
      <c r="B31" s="46"/>
      <c r="C31" s="24"/>
      <c r="D31" s="24"/>
      <c r="E31" s="25"/>
      <c r="F31" s="51"/>
      <c r="G31" s="25"/>
      <c r="H31" s="1"/>
      <c r="I31" s="1"/>
      <c r="J31" s="15"/>
      <c r="K31" s="16"/>
      <c r="L31" s="16"/>
      <c r="M31" s="16"/>
      <c r="N31" s="16"/>
      <c r="O31" s="16"/>
      <c r="P31" s="17"/>
      <c r="Q31" s="1"/>
    </row>
    <row r="32" ht="14.25" customHeight="1">
      <c r="A32" s="47"/>
      <c r="B32" s="46"/>
      <c r="C32" s="24"/>
      <c r="D32" s="24"/>
      <c r="E32" s="25"/>
      <c r="F32" s="51"/>
      <c r="G32" s="25"/>
      <c r="H32" s="1"/>
      <c r="I32" s="1"/>
      <c r="J32" s="45" t="s">
        <v>2</v>
      </c>
      <c r="K32" s="46" t="s">
        <v>3</v>
      </c>
      <c r="L32" s="24"/>
      <c r="M32" s="24"/>
      <c r="N32" s="25"/>
      <c r="O32" s="46" t="s">
        <v>4</v>
      </c>
      <c r="P32" s="25"/>
    </row>
    <row r="33" ht="14.25" customHeight="1">
      <c r="A33" s="47"/>
      <c r="B33" s="46"/>
      <c r="C33" s="24"/>
      <c r="D33" s="24"/>
      <c r="E33" s="25"/>
      <c r="F33" s="51"/>
      <c r="G33" s="25"/>
      <c r="H33" s="1"/>
      <c r="I33" s="1"/>
      <c r="J33" s="47"/>
      <c r="K33" s="48" t="s">
        <v>28</v>
      </c>
      <c r="L33" s="24"/>
      <c r="M33" s="24"/>
      <c r="N33" s="25"/>
      <c r="O33" s="49">
        <v>113500.0</v>
      </c>
      <c r="P33" s="25"/>
    </row>
    <row r="34" ht="14.25" customHeight="1">
      <c r="A34" s="47"/>
      <c r="B34" s="46"/>
      <c r="C34" s="24"/>
      <c r="D34" s="24"/>
      <c r="E34" s="25"/>
      <c r="F34" s="51"/>
      <c r="G34" s="25"/>
      <c r="H34" s="55"/>
      <c r="I34" s="1"/>
      <c r="J34" s="47"/>
      <c r="K34" s="48" t="s">
        <v>29</v>
      </c>
      <c r="L34" s="24"/>
      <c r="M34" s="24"/>
      <c r="N34" s="25"/>
      <c r="O34" s="49">
        <v>16000.0</v>
      </c>
      <c r="P34" s="25"/>
    </row>
    <row r="35" ht="14.25" customHeight="1">
      <c r="A35" s="52"/>
      <c r="B35" s="53" t="s">
        <v>14</v>
      </c>
      <c r="C35" s="24"/>
      <c r="D35" s="24"/>
      <c r="E35" s="25"/>
      <c r="F35" s="54">
        <f>SUM(F22:G34)</f>
        <v>151296</v>
      </c>
      <c r="G35" s="25"/>
      <c r="H35" s="55"/>
      <c r="I35" s="1"/>
      <c r="J35" s="47"/>
      <c r="K35" s="46"/>
      <c r="L35" s="24"/>
      <c r="M35" s="24"/>
      <c r="N35" s="25"/>
      <c r="O35" s="51"/>
      <c r="P35" s="25"/>
    </row>
    <row r="36" ht="14.25" customHeight="1">
      <c r="H36" s="55"/>
      <c r="I36" s="1"/>
      <c r="J36" s="52"/>
      <c r="K36" s="53" t="s">
        <v>14</v>
      </c>
      <c r="L36" s="24"/>
      <c r="M36" s="24"/>
      <c r="N36" s="25"/>
      <c r="O36" s="54">
        <f>SUM(O33:P35)</f>
        <v>129500</v>
      </c>
      <c r="P36" s="25"/>
    </row>
    <row r="37" ht="14.25" customHeight="1">
      <c r="H37" s="1"/>
      <c r="I37" s="1"/>
      <c r="J37" s="1"/>
      <c r="K37" s="1"/>
      <c r="L37" s="1"/>
    </row>
    <row r="38" ht="14.25" customHeight="1">
      <c r="H38" s="1"/>
      <c r="I38" s="1"/>
      <c r="J38" s="1"/>
      <c r="K38" s="1"/>
      <c r="L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95">
    <mergeCell ref="J18:P20"/>
    <mergeCell ref="K21:N21"/>
    <mergeCell ref="O21:P21"/>
    <mergeCell ref="K22:N22"/>
    <mergeCell ref="O22:P22"/>
    <mergeCell ref="K23:N23"/>
    <mergeCell ref="O23:P23"/>
    <mergeCell ref="K34:N34"/>
    <mergeCell ref="O34:P34"/>
    <mergeCell ref="K35:N35"/>
    <mergeCell ref="O35:P35"/>
    <mergeCell ref="K36:N36"/>
    <mergeCell ref="O36:P36"/>
    <mergeCell ref="K24:N24"/>
    <mergeCell ref="O24:P24"/>
    <mergeCell ref="J29:P31"/>
    <mergeCell ref="K32:N32"/>
    <mergeCell ref="O32:P32"/>
    <mergeCell ref="K33:N33"/>
    <mergeCell ref="O33:P33"/>
    <mergeCell ref="B14:E14"/>
    <mergeCell ref="B15:E15"/>
    <mergeCell ref="F15:G15"/>
    <mergeCell ref="A18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7:E27"/>
    <mergeCell ref="F27:G27"/>
    <mergeCell ref="B28:E28"/>
    <mergeCell ref="F28:G28"/>
    <mergeCell ref="B29:E29"/>
    <mergeCell ref="F29:G29"/>
    <mergeCell ref="F30:G30"/>
    <mergeCell ref="B34:E34"/>
    <mergeCell ref="F34:G34"/>
    <mergeCell ref="B35:E35"/>
    <mergeCell ref="F35:G35"/>
    <mergeCell ref="B30:E30"/>
    <mergeCell ref="B31:E31"/>
    <mergeCell ref="F31:G31"/>
    <mergeCell ref="B32:E32"/>
    <mergeCell ref="F32:G32"/>
    <mergeCell ref="B33:E33"/>
    <mergeCell ref="F33:G33"/>
    <mergeCell ref="A3:G5"/>
    <mergeCell ref="J3:P5"/>
    <mergeCell ref="B6:E6"/>
    <mergeCell ref="F6:G6"/>
    <mergeCell ref="O6:P6"/>
    <mergeCell ref="F7:G7"/>
    <mergeCell ref="O7:P7"/>
    <mergeCell ref="B7:E7"/>
    <mergeCell ref="B8:E8"/>
    <mergeCell ref="F8:G8"/>
    <mergeCell ref="B9:E9"/>
    <mergeCell ref="F9:G9"/>
    <mergeCell ref="B10:E10"/>
    <mergeCell ref="F10:G10"/>
    <mergeCell ref="K6:N6"/>
    <mergeCell ref="K7:N7"/>
    <mergeCell ref="K8:N8"/>
    <mergeCell ref="O8:P8"/>
    <mergeCell ref="K9:N9"/>
    <mergeCell ref="O9:P9"/>
    <mergeCell ref="O10:P10"/>
    <mergeCell ref="B11:E11"/>
    <mergeCell ref="F11:G11"/>
    <mergeCell ref="B12:E12"/>
    <mergeCell ref="F12:G12"/>
    <mergeCell ref="B13:E13"/>
    <mergeCell ref="F13:G13"/>
    <mergeCell ref="F14:G14"/>
    <mergeCell ref="K10:N10"/>
    <mergeCell ref="K11:N11"/>
    <mergeCell ref="O11:P11"/>
    <mergeCell ref="K12:N12"/>
    <mergeCell ref="O12:P12"/>
    <mergeCell ref="K13:N13"/>
    <mergeCell ref="O13:P13"/>
    <mergeCell ref="K25:N25"/>
    <mergeCell ref="O25:P25"/>
    <mergeCell ref="K26:N26"/>
    <mergeCell ref="O26:P26"/>
    <mergeCell ref="K27:N27"/>
    <mergeCell ref="O27:P27"/>
    <mergeCell ref="B26:E26"/>
    <mergeCell ref="F26:G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45" t="s">
        <v>30</v>
      </c>
      <c r="C3" s="46" t="s">
        <v>31</v>
      </c>
      <c r="D3" s="24"/>
      <c r="E3" s="24"/>
      <c r="F3" s="25"/>
      <c r="G3" s="46" t="s">
        <v>32</v>
      </c>
      <c r="H3" s="25"/>
    </row>
    <row r="4">
      <c r="B4" s="47"/>
      <c r="C4" s="46"/>
      <c r="D4" s="24"/>
      <c r="E4" s="24"/>
      <c r="F4" s="25"/>
      <c r="G4" s="51"/>
      <c r="H4" s="25"/>
    </row>
    <row r="5">
      <c r="B5" s="47">
        <v>45992.0</v>
      </c>
      <c r="C5" s="46" t="s">
        <v>33</v>
      </c>
      <c r="D5" s="24"/>
      <c r="E5" s="24"/>
      <c r="F5" s="25"/>
      <c r="G5" s="51">
        <f>4*35000</f>
        <v>140000</v>
      </c>
      <c r="H5" s="25"/>
    </row>
    <row r="6">
      <c r="B6" s="47">
        <v>45931.0</v>
      </c>
      <c r="C6" s="46" t="s">
        <v>34</v>
      </c>
      <c r="D6" s="24"/>
      <c r="E6" s="24"/>
      <c r="F6" s="25"/>
      <c r="G6" s="51">
        <f>4*17000</f>
        <v>68000</v>
      </c>
      <c r="H6" s="25"/>
    </row>
    <row r="7">
      <c r="B7" s="47">
        <v>45931.0</v>
      </c>
      <c r="C7" s="46"/>
      <c r="D7" s="24"/>
      <c r="E7" s="24"/>
      <c r="F7" s="25"/>
      <c r="G7" s="51"/>
      <c r="H7" s="25"/>
    </row>
    <row r="8">
      <c r="B8" s="47"/>
      <c r="C8" s="46"/>
      <c r="D8" s="24"/>
      <c r="E8" s="24"/>
      <c r="F8" s="25"/>
      <c r="G8" s="51"/>
      <c r="H8" s="25"/>
    </row>
    <row r="9">
      <c r="B9" s="47"/>
      <c r="C9" s="46"/>
      <c r="D9" s="24"/>
      <c r="E9" s="24"/>
      <c r="F9" s="25"/>
      <c r="G9" s="51"/>
      <c r="H9" s="25"/>
    </row>
    <row r="10">
      <c r="B10" s="47"/>
      <c r="C10" s="46"/>
      <c r="D10" s="24"/>
      <c r="E10" s="24"/>
      <c r="F10" s="25"/>
      <c r="G10" s="51"/>
      <c r="H10" s="25"/>
    </row>
    <row r="11">
      <c r="B11" s="47"/>
      <c r="C11" s="46"/>
      <c r="D11" s="24"/>
      <c r="E11" s="24"/>
      <c r="F11" s="25"/>
      <c r="G11" s="51"/>
      <c r="H11" s="25"/>
    </row>
    <row r="12">
      <c r="B12" s="47"/>
      <c r="C12" s="46"/>
      <c r="D12" s="24"/>
      <c r="E12" s="24"/>
      <c r="F12" s="25"/>
      <c r="G12" s="51"/>
      <c r="H12" s="25"/>
    </row>
    <row r="13">
      <c r="B13" s="47"/>
      <c r="C13" s="46"/>
      <c r="D13" s="24"/>
      <c r="E13" s="24"/>
      <c r="F13" s="25"/>
      <c r="G13" s="51"/>
      <c r="H13" s="25"/>
    </row>
    <row r="14">
      <c r="B14" s="47"/>
      <c r="C14" s="46"/>
      <c r="D14" s="24"/>
      <c r="E14" s="24"/>
      <c r="F14" s="25"/>
      <c r="G14" s="51"/>
      <c r="H14" s="25"/>
    </row>
    <row r="15">
      <c r="B15" s="47"/>
      <c r="C15" s="46"/>
      <c r="D15" s="24"/>
      <c r="E15" s="24"/>
      <c r="F15" s="25"/>
      <c r="G15" s="51"/>
      <c r="H15" s="25"/>
    </row>
    <row r="16">
      <c r="B16" s="47"/>
      <c r="C16" s="46"/>
      <c r="D16" s="24"/>
      <c r="E16" s="24"/>
      <c r="F16" s="25"/>
      <c r="G16" s="51"/>
      <c r="H16" s="25"/>
    </row>
    <row r="17">
      <c r="B17" s="47"/>
      <c r="C17" s="46"/>
      <c r="D17" s="24"/>
      <c r="E17" s="24"/>
      <c r="F17" s="25"/>
      <c r="G17" s="51">
        <f>SUM(G4:H16)</f>
        <v>208000</v>
      </c>
      <c r="H17" s="25"/>
    </row>
  </sheetData>
  <mergeCells count="30">
    <mergeCell ref="C3:F3"/>
    <mergeCell ref="G3:H3"/>
    <mergeCell ref="C4:F4"/>
    <mergeCell ref="G4:H4"/>
    <mergeCell ref="C5:F5"/>
    <mergeCell ref="G5:H5"/>
    <mergeCell ref="G6:H6"/>
    <mergeCell ref="C6:F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C12:F12"/>
    <mergeCell ref="G12:H12"/>
    <mergeCell ref="G13:H13"/>
    <mergeCell ref="C17:F17"/>
    <mergeCell ref="G17:H17"/>
    <mergeCell ref="C13:F13"/>
    <mergeCell ref="C14:F14"/>
    <mergeCell ref="G14:H14"/>
    <mergeCell ref="C15:F15"/>
    <mergeCell ref="G15:H15"/>
    <mergeCell ref="C16:F16"/>
    <mergeCell ref="G16:H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">
      <c r="B2" s="2" t="s">
        <v>35</v>
      </c>
      <c r="C2" s="3"/>
      <c r="D2" s="3"/>
      <c r="E2" s="3"/>
      <c r="F2" s="3"/>
      <c r="G2" s="3"/>
      <c r="H2" s="4"/>
    </row>
    <row r="3">
      <c r="B3" s="8"/>
      <c r="H3" s="9"/>
    </row>
    <row r="4">
      <c r="B4" s="12"/>
      <c r="C4" s="13"/>
      <c r="D4" s="13"/>
      <c r="E4" s="13"/>
      <c r="F4" s="13"/>
      <c r="G4" s="13"/>
      <c r="H4" s="14"/>
    </row>
    <row r="5">
      <c r="B5" s="18" t="s">
        <v>2</v>
      </c>
      <c r="C5" s="19" t="s">
        <v>3</v>
      </c>
      <c r="D5" s="20"/>
      <c r="E5" s="20"/>
      <c r="F5" s="21"/>
      <c r="G5" s="19" t="s">
        <v>4</v>
      </c>
      <c r="H5" s="21"/>
    </row>
    <row r="6">
      <c r="B6" s="56"/>
      <c r="C6" s="19" t="s">
        <v>36</v>
      </c>
      <c r="D6" s="20"/>
      <c r="E6" s="20"/>
      <c r="F6" s="21"/>
      <c r="G6" s="31">
        <f>2*10000*4</f>
        <v>80000</v>
      </c>
      <c r="H6" s="21"/>
    </row>
    <row r="7">
      <c r="B7" s="56"/>
      <c r="C7" s="19"/>
      <c r="D7" s="20"/>
      <c r="E7" s="20"/>
      <c r="F7" s="21"/>
      <c r="G7" s="31"/>
      <c r="H7" s="21"/>
    </row>
    <row r="8">
      <c r="B8" s="56"/>
      <c r="C8" s="19"/>
      <c r="D8" s="20"/>
      <c r="E8" s="20"/>
      <c r="F8" s="21"/>
      <c r="G8" s="31"/>
      <c r="H8" s="21"/>
    </row>
    <row r="9">
      <c r="B9" s="56"/>
      <c r="C9" s="19"/>
      <c r="D9" s="20"/>
      <c r="E9" s="20"/>
      <c r="F9" s="21"/>
      <c r="G9" s="31" t="s">
        <v>37</v>
      </c>
      <c r="H9" s="21"/>
    </row>
    <row r="10">
      <c r="B10" s="56"/>
      <c r="C10" s="19"/>
      <c r="D10" s="20"/>
      <c r="E10" s="20"/>
      <c r="F10" s="21"/>
      <c r="G10" s="31"/>
      <c r="H10" s="21"/>
    </row>
    <row r="11">
      <c r="B11" s="56"/>
      <c r="C11" s="19"/>
      <c r="D11" s="20"/>
      <c r="E11" s="20"/>
      <c r="F11" s="21"/>
      <c r="G11" s="31"/>
      <c r="H11" s="21"/>
    </row>
    <row r="12">
      <c r="B12" s="56"/>
      <c r="C12" s="19"/>
      <c r="D12" s="20"/>
      <c r="E12" s="20"/>
      <c r="F12" s="21"/>
      <c r="G12" s="31"/>
      <c r="H12" s="21"/>
    </row>
    <row r="13">
      <c r="B13" s="56"/>
      <c r="C13" s="19"/>
      <c r="D13" s="20"/>
      <c r="E13" s="20"/>
      <c r="F13" s="21"/>
      <c r="G13" s="31"/>
      <c r="H13" s="21"/>
    </row>
    <row r="14">
      <c r="B14" s="56"/>
      <c r="C14" s="19"/>
      <c r="D14" s="20"/>
      <c r="E14" s="20"/>
      <c r="F14" s="21"/>
      <c r="G14" s="31"/>
      <c r="H14" s="21"/>
    </row>
    <row r="15">
      <c r="B15" s="56"/>
      <c r="C15" s="19"/>
      <c r="D15" s="20"/>
      <c r="E15" s="20"/>
      <c r="F15" s="21"/>
      <c r="G15" s="31"/>
      <c r="H15" s="21"/>
    </row>
    <row r="16">
      <c r="B16" s="56"/>
      <c r="C16" s="19"/>
      <c r="D16" s="20"/>
      <c r="E16" s="20"/>
      <c r="F16" s="21"/>
      <c r="G16" s="31"/>
      <c r="H16" s="21"/>
    </row>
    <row r="17">
      <c r="B17" s="56"/>
      <c r="C17" s="19"/>
      <c r="D17" s="20"/>
      <c r="E17" s="20"/>
      <c r="F17" s="21"/>
      <c r="G17" s="31"/>
      <c r="H17" s="21"/>
    </row>
    <row r="18">
      <c r="B18" s="41"/>
      <c r="C18" s="42" t="s">
        <v>38</v>
      </c>
      <c r="D18" s="20"/>
      <c r="E18" s="20"/>
      <c r="F18" s="21"/>
      <c r="G18" s="31">
        <f>SUM(G6:H12)</f>
        <v>80000</v>
      </c>
      <c r="H18" s="21"/>
    </row>
  </sheetData>
  <mergeCells count="29">
    <mergeCell ref="B2:H4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G11:H11"/>
    <mergeCell ref="C15:F15"/>
    <mergeCell ref="G15:H15"/>
    <mergeCell ref="C16:F16"/>
    <mergeCell ref="G16:H16"/>
    <mergeCell ref="C17:F17"/>
    <mergeCell ref="G17:H17"/>
    <mergeCell ref="C18:F18"/>
    <mergeCell ref="G18:H18"/>
    <mergeCell ref="C11:F11"/>
    <mergeCell ref="C12:F12"/>
    <mergeCell ref="G12:H12"/>
    <mergeCell ref="C13:F13"/>
    <mergeCell ref="G13:H13"/>
    <mergeCell ref="C14:F14"/>
    <mergeCell ref="G14:H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2024-09-10T14:43:04Z</dcterms:created>
  <dc:creator>Julian Ezequiel Negrete</dc:creator>
</cp:coreProperties>
</file>